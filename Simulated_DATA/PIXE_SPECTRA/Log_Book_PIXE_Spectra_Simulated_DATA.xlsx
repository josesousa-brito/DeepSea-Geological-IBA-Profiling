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Simulated_DATA\PIXE_SPECTRA\"/>
    </mc:Choice>
  </mc:AlternateContent>
  <xr:revisionPtr revIDLastSave="0" documentId="13_ncr:1_{FFD6FE80-1064-4B64-A6ED-CCF92BFC39E8}" xr6:coauthVersionLast="47" xr6:coauthVersionMax="47" xr10:uidLastSave="{00000000-0000-0000-0000-000000000000}"/>
  <bookViews>
    <workbookView xWindow="-96" yWindow="0" windowWidth="11712" windowHeight="13776" xr2:uid="{69CC848C-091F-43AF-9F86-0AAB8A875D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1" l="1"/>
  <c r="K6" i="1"/>
  <c r="K7" i="1"/>
  <c r="K8" i="1"/>
  <c r="K9" i="1"/>
  <c r="K10" i="1"/>
  <c r="K11" i="1" s="1"/>
  <c r="K12" i="1" s="1"/>
  <c r="K13" i="1" s="1"/>
  <c r="K14" i="1" s="1"/>
  <c r="K5" i="1"/>
  <c r="D19" i="1"/>
  <c r="D20" i="1"/>
  <c r="D21" i="1" s="1"/>
  <c r="D22" i="1" s="1"/>
  <c r="D23" i="1" s="1"/>
  <c r="D18" i="1"/>
  <c r="D13" i="1"/>
  <c r="D14" i="1" s="1"/>
  <c r="D15" i="1" s="1"/>
  <c r="D16" i="1" s="1"/>
  <c r="D17" i="1" s="1"/>
  <c r="D5" i="1"/>
  <c r="D6" i="1" s="1"/>
  <c r="D7" i="1" s="1"/>
  <c r="D8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<sst xmlns="http://schemas.openxmlformats.org/spreadsheetml/2006/main" count="84" uniqueCount="23">
  <si>
    <t>2 MeV</t>
  </si>
  <si>
    <t>Raster</t>
  </si>
  <si>
    <t>2640 x 2640</t>
  </si>
  <si>
    <t>3 x 4</t>
  </si>
  <si>
    <t>Lucky Strike</t>
  </si>
  <si>
    <t>700 KeV</t>
  </si>
  <si>
    <t>2250 x 2250</t>
  </si>
  <si>
    <t>450 x 450</t>
  </si>
  <si>
    <t>4500 x 4500</t>
  </si>
  <si>
    <t xml:space="preserve">Raster </t>
  </si>
  <si>
    <t>Sample Type</t>
  </si>
  <si>
    <t>Beam Energy</t>
  </si>
  <si>
    <t>Description</t>
  </si>
  <si>
    <r>
      <t xml:space="preserve">Dimensions / </t>
    </r>
    <r>
      <rPr>
        <b/>
        <sz val="11"/>
        <color theme="1"/>
        <rFont val="Aptos Narrow"/>
        <family val="2"/>
      </rPr>
      <t>μm</t>
    </r>
    <r>
      <rPr>
        <b/>
        <vertAlign val="superscript"/>
        <sz val="11"/>
        <color theme="1"/>
        <rFont val="Aptos Narrow"/>
        <family val="2"/>
      </rPr>
      <t>2</t>
    </r>
  </si>
  <si>
    <t>Polymetallic Nodule</t>
  </si>
  <si>
    <t>Foraminifera</t>
  </si>
  <si>
    <t>Silicon Wafer</t>
  </si>
  <si>
    <t>Map</t>
  </si>
  <si>
    <t>Point</t>
  </si>
  <si>
    <t>Small region of the map</t>
  </si>
  <si>
    <t>A point on the map</t>
  </si>
  <si>
    <t>Region of interest of the sample</t>
  </si>
  <si>
    <t>Run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</si>
</sst>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26581</xdr:colOff>
      <xdr:row>21</xdr:row>
      <xdr:rowOff>26581</xdr:rowOff>
    </xdr:from>
    <xdr:to>
      <xdr:col>12</xdr:col>
      <xdr:colOff>381000</xdr:colOff>
      <xdr:row>30</xdr:row>
      <xdr:rowOff>159489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948C848-6264-17A8-3E53-3366DA6F29B9}"/>
            </a:ext>
          </a:extLst>
        </xdr:cNvPr>
        <xdr:cNvSpPr txBox="1"/>
      </xdr:nvSpPr>
      <xdr:spPr>
        <a:xfrm>
          <a:off x="7602279" y="3960628"/>
          <a:ext cx="5617535" cy="1807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PT" sz="1100"/>
            <a:t>The run numbers highlighted in red were not analysed using PIXE.</a:t>
          </a:r>
        </a:p>
        <a:p>
          <a:pPr algn="l"/>
          <a:endParaRPr lang="pt-PT" sz="1100"/>
        </a:p>
        <a:p>
          <a:pPr algn="l"/>
          <a:r>
            <a:rPr lang="pt-PT" sz="1100"/>
            <a:t>Run 671122 was excluded from analysis as it targets the exact same coordinate/point as Run 671121.</a:t>
          </a:r>
        </a:p>
        <a:p>
          <a:pPr algn="l"/>
          <a:endParaRPr lang="pt-PT" sz="1100"/>
        </a:p>
        <a:p>
          <a:pPr algn="l"/>
          <a:r>
            <a:rPr lang="pt-PT" sz="1100"/>
            <a:t>Run 671125 was not analysed due to insufficient statistics.</a:t>
          </a:r>
        </a:p>
        <a:p>
          <a:pPr algn="l"/>
          <a:endParaRPr lang="pt-PT" sz="1100"/>
        </a:p>
        <a:p>
          <a:pPr algn="l"/>
          <a:r>
            <a:rPr lang="pt-PT" sz="1100"/>
            <a:t>Run 671137 was omitted from this analysis because it consists of a silicon wafer map used solely for detector calibration purposes, and therefore holds no experimental interest for this study.</a:t>
          </a:r>
        </a:p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685B-F3B6-4258-811E-E93E78A2FBC1}">
  <dimension ref="B3:M23"/>
  <sheetViews>
    <sheetView tabSelected="1" topLeftCell="F1" zoomScale="86" zoomScaleNormal="175" workbookViewId="0">
      <selection activeCell="M29" sqref="M29"/>
    </sheetView>
  </sheetViews>
  <sheetFormatPr defaultRowHeight="14.4" x14ac:dyDescent="0.3"/>
  <cols>
    <col min="2" max="2" width="25.44140625" bestFit="1" customWidth="1"/>
    <col min="3" max="3" width="15" bestFit="1" customWidth="1"/>
    <col min="4" max="4" width="14.6640625" bestFit="1" customWidth="1"/>
    <col min="5" max="5" width="10.6640625" bestFit="1" customWidth="1"/>
    <col min="6" max="6" width="17.77734375" customWidth="1"/>
    <col min="9" max="9" width="36.33203125" bestFit="1" customWidth="1"/>
    <col min="10" max="10" width="15" bestFit="1" customWidth="1"/>
    <col min="11" max="11" width="14.6640625" bestFit="1" customWidth="1"/>
    <col min="12" max="12" width="10.6640625" bestFit="1" customWidth="1"/>
    <col min="13" max="13" width="16.109375" bestFit="1" customWidth="1"/>
  </cols>
  <sheetData>
    <row r="3" spans="2:13" ht="16.2" x14ac:dyDescent="0.3">
      <c r="B3" s="3" t="s">
        <v>10</v>
      </c>
      <c r="C3" s="3" t="s">
        <v>11</v>
      </c>
      <c r="D3" s="3" t="s">
        <v>22</v>
      </c>
      <c r="E3" s="3" t="s">
        <v>12</v>
      </c>
      <c r="F3" s="3" t="s">
        <v>13</v>
      </c>
      <c r="I3" s="3" t="s">
        <v>10</v>
      </c>
      <c r="J3" s="3" t="s">
        <v>11</v>
      </c>
      <c r="K3" s="3" t="s">
        <v>22</v>
      </c>
      <c r="L3" s="3" t="s">
        <v>12</v>
      </c>
      <c r="M3" s="3" t="s">
        <v>13</v>
      </c>
    </row>
    <row r="4" spans="2:13" ht="14.4" customHeight="1" x14ac:dyDescent="0.3">
      <c r="B4" s="8" t="s">
        <v>14</v>
      </c>
      <c r="C4" s="6" t="s">
        <v>0</v>
      </c>
      <c r="D4" s="1">
        <v>671118</v>
      </c>
      <c r="E4" s="1" t="s">
        <v>17</v>
      </c>
      <c r="F4" s="1" t="s">
        <v>2</v>
      </c>
      <c r="I4" s="8" t="s">
        <v>15</v>
      </c>
      <c r="J4" s="6" t="s">
        <v>5</v>
      </c>
      <c r="K4" s="1">
        <v>672013</v>
      </c>
      <c r="L4" s="1" t="s">
        <v>17</v>
      </c>
      <c r="M4" s="1" t="s">
        <v>6</v>
      </c>
    </row>
    <row r="5" spans="2:13" x14ac:dyDescent="0.3">
      <c r="B5" s="8"/>
      <c r="C5" s="6"/>
      <c r="D5" s="1">
        <f>D4+1</f>
        <v>671119</v>
      </c>
      <c r="E5" s="1" t="s">
        <v>18</v>
      </c>
      <c r="F5" s="1" t="s">
        <v>3</v>
      </c>
      <c r="I5" s="8"/>
      <c r="J5" s="6"/>
      <c r="K5" s="1">
        <f>K4+1</f>
        <v>672014</v>
      </c>
      <c r="L5" s="1" t="s">
        <v>17</v>
      </c>
      <c r="M5" s="1" t="s">
        <v>7</v>
      </c>
    </row>
    <row r="6" spans="2:13" x14ac:dyDescent="0.3">
      <c r="B6" s="8"/>
      <c r="C6" s="6"/>
      <c r="D6" s="1">
        <f t="shared" ref="D6:D11" si="0">D5+1</f>
        <v>671120</v>
      </c>
      <c r="E6" s="1" t="s">
        <v>18</v>
      </c>
      <c r="F6" s="1" t="s">
        <v>3</v>
      </c>
      <c r="I6" s="8"/>
      <c r="J6" s="6"/>
      <c r="K6" s="4">
        <f t="shared" ref="K6:K14" si="1">K5+1</f>
        <v>672015</v>
      </c>
      <c r="L6" s="4" t="s">
        <v>18</v>
      </c>
      <c r="M6" s="4" t="s">
        <v>3</v>
      </c>
    </row>
    <row r="7" spans="2:13" x14ac:dyDescent="0.3">
      <c r="B7" s="8"/>
      <c r="C7" s="6"/>
      <c r="D7" s="1">
        <f t="shared" si="0"/>
        <v>671121</v>
      </c>
      <c r="E7" s="1" t="s">
        <v>18</v>
      </c>
      <c r="F7" s="1" t="s">
        <v>3</v>
      </c>
      <c r="I7" s="8"/>
      <c r="J7" s="6"/>
      <c r="K7" s="1">
        <f t="shared" si="1"/>
        <v>672016</v>
      </c>
      <c r="L7" s="1" t="s">
        <v>18</v>
      </c>
      <c r="M7" s="1" t="s">
        <v>3</v>
      </c>
    </row>
    <row r="8" spans="2:13" x14ac:dyDescent="0.3">
      <c r="B8" s="8"/>
      <c r="C8" s="6"/>
      <c r="D8" s="4">
        <f t="shared" si="0"/>
        <v>671122</v>
      </c>
      <c r="E8" s="4" t="s">
        <v>18</v>
      </c>
      <c r="F8" s="4" t="s">
        <v>3</v>
      </c>
      <c r="I8" s="8"/>
      <c r="J8" s="6"/>
      <c r="K8" s="1">
        <f t="shared" si="1"/>
        <v>672017</v>
      </c>
      <c r="L8" s="1" t="s">
        <v>18</v>
      </c>
      <c r="M8" s="1" t="s">
        <v>3</v>
      </c>
    </row>
    <row r="9" spans="2:13" x14ac:dyDescent="0.3">
      <c r="B9" s="8"/>
      <c r="C9" s="6"/>
      <c r="D9" s="1">
        <f t="shared" si="0"/>
        <v>671123</v>
      </c>
      <c r="E9" s="1" t="s">
        <v>17</v>
      </c>
      <c r="F9" s="1" t="s">
        <v>2</v>
      </c>
      <c r="I9" s="8"/>
      <c r="J9" s="6"/>
      <c r="K9" s="1">
        <f t="shared" si="1"/>
        <v>672018</v>
      </c>
      <c r="L9" s="1" t="s">
        <v>18</v>
      </c>
      <c r="M9" s="1" t="s">
        <v>3</v>
      </c>
    </row>
    <row r="10" spans="2:13" x14ac:dyDescent="0.3">
      <c r="B10" s="8"/>
      <c r="C10" s="6"/>
      <c r="D10" s="1">
        <f t="shared" si="0"/>
        <v>671124</v>
      </c>
      <c r="E10" s="1" t="s">
        <v>1</v>
      </c>
      <c r="F10" s="7"/>
      <c r="I10" s="5" t="s">
        <v>14</v>
      </c>
      <c r="J10" s="6"/>
      <c r="K10" s="1">
        <f t="shared" si="1"/>
        <v>672019</v>
      </c>
      <c r="L10" s="1" t="s">
        <v>17</v>
      </c>
      <c r="M10" s="1" t="s">
        <v>7</v>
      </c>
    </row>
    <row r="11" spans="2:13" x14ac:dyDescent="0.3">
      <c r="B11" s="8"/>
      <c r="C11" s="6"/>
      <c r="D11" s="4">
        <f t="shared" si="0"/>
        <v>671125</v>
      </c>
      <c r="E11" s="4" t="s">
        <v>1</v>
      </c>
      <c r="F11" s="7"/>
      <c r="I11" s="5"/>
      <c r="J11" s="6"/>
      <c r="K11" s="1">
        <f t="shared" si="1"/>
        <v>672020</v>
      </c>
      <c r="L11" s="1" t="s">
        <v>17</v>
      </c>
      <c r="M11" s="1" t="s">
        <v>8</v>
      </c>
    </row>
    <row r="12" spans="2:13" x14ac:dyDescent="0.3">
      <c r="B12" s="8"/>
      <c r="C12" s="6"/>
      <c r="D12" s="1">
        <f>D11+1</f>
        <v>671126</v>
      </c>
      <c r="E12" s="1" t="s">
        <v>1</v>
      </c>
      <c r="F12" s="7"/>
      <c r="I12" s="5"/>
      <c r="J12" s="6"/>
      <c r="K12" s="1">
        <f t="shared" si="1"/>
        <v>672021</v>
      </c>
      <c r="L12" s="1" t="s">
        <v>18</v>
      </c>
      <c r="M12" s="1" t="s">
        <v>3</v>
      </c>
    </row>
    <row r="13" spans="2:13" ht="14.4" customHeight="1" x14ac:dyDescent="0.3">
      <c r="B13" s="8" t="s">
        <v>15</v>
      </c>
      <c r="C13" s="6"/>
      <c r="D13" s="1">
        <f t="shared" ref="D13:D17" si="2">D12+1</f>
        <v>671127</v>
      </c>
      <c r="E13" s="1" t="s">
        <v>17</v>
      </c>
      <c r="F13" s="1" t="s">
        <v>2</v>
      </c>
      <c r="I13" s="5"/>
      <c r="J13" s="6"/>
      <c r="K13" s="1">
        <f t="shared" si="1"/>
        <v>672022</v>
      </c>
      <c r="L13" s="1" t="s">
        <v>18</v>
      </c>
      <c r="M13" s="1" t="s">
        <v>3</v>
      </c>
    </row>
    <row r="14" spans="2:13" x14ac:dyDescent="0.3">
      <c r="B14" s="8"/>
      <c r="C14" s="6"/>
      <c r="D14" s="1">
        <f t="shared" si="2"/>
        <v>671128</v>
      </c>
      <c r="E14" s="1" t="s">
        <v>18</v>
      </c>
      <c r="F14" s="1" t="s">
        <v>3</v>
      </c>
      <c r="I14" s="5"/>
      <c r="J14" s="6"/>
      <c r="K14" s="1">
        <f t="shared" si="1"/>
        <v>672023</v>
      </c>
      <c r="L14" s="1" t="s">
        <v>17</v>
      </c>
      <c r="M14" s="1" t="s">
        <v>8</v>
      </c>
    </row>
    <row r="15" spans="2:13" x14ac:dyDescent="0.3">
      <c r="B15" s="8"/>
      <c r="C15" s="6"/>
      <c r="D15" s="1">
        <f t="shared" si="2"/>
        <v>671129</v>
      </c>
      <c r="E15" s="1" t="s">
        <v>18</v>
      </c>
      <c r="F15" s="1" t="s">
        <v>3</v>
      </c>
      <c r="I15" s="5"/>
      <c r="J15" s="6"/>
      <c r="K15" s="1">
        <f>K14+1</f>
        <v>672024</v>
      </c>
      <c r="L15" s="1" t="s">
        <v>18</v>
      </c>
      <c r="M15" s="1" t="s">
        <v>3</v>
      </c>
    </row>
    <row r="16" spans="2:13" x14ac:dyDescent="0.3">
      <c r="B16" s="8"/>
      <c r="C16" s="6"/>
      <c r="D16" s="1">
        <f t="shared" si="2"/>
        <v>671130</v>
      </c>
      <c r="E16" s="1" t="s">
        <v>18</v>
      </c>
      <c r="F16" s="1" t="s">
        <v>3</v>
      </c>
    </row>
    <row r="17" spans="2:11" x14ac:dyDescent="0.3">
      <c r="B17" s="8"/>
      <c r="C17" s="6"/>
      <c r="D17" s="1">
        <f t="shared" si="2"/>
        <v>671131</v>
      </c>
      <c r="E17" s="1" t="s">
        <v>18</v>
      </c>
      <c r="F17" s="1" t="s">
        <v>3</v>
      </c>
    </row>
    <row r="18" spans="2:11" x14ac:dyDescent="0.3">
      <c r="B18" s="8"/>
      <c r="C18" s="6"/>
      <c r="D18" s="1">
        <f>D17+1</f>
        <v>671132</v>
      </c>
      <c r="E18" s="1" t="s">
        <v>18</v>
      </c>
      <c r="F18" s="1" t="s">
        <v>3</v>
      </c>
      <c r="I18" s="3" t="s">
        <v>17</v>
      </c>
      <c r="J18" s="6" t="s">
        <v>21</v>
      </c>
      <c r="K18" s="6"/>
    </row>
    <row r="19" spans="2:11" ht="15" customHeight="1" x14ac:dyDescent="0.3">
      <c r="B19" s="5" t="s">
        <v>4</v>
      </c>
      <c r="C19" s="6"/>
      <c r="D19" s="1">
        <f t="shared" ref="D19:D23" si="3">D18+1</f>
        <v>671133</v>
      </c>
      <c r="E19" s="1" t="s">
        <v>17</v>
      </c>
      <c r="F19" s="1" t="s">
        <v>2</v>
      </c>
      <c r="I19" s="3" t="s">
        <v>9</v>
      </c>
      <c r="J19" s="6" t="s">
        <v>19</v>
      </c>
      <c r="K19" s="6"/>
    </row>
    <row r="20" spans="2:11" x14ac:dyDescent="0.3">
      <c r="B20" s="5"/>
      <c r="C20" s="6"/>
      <c r="D20" s="1">
        <f t="shared" si="3"/>
        <v>671134</v>
      </c>
      <c r="E20" s="1" t="s">
        <v>18</v>
      </c>
      <c r="F20" s="1" t="s">
        <v>3</v>
      </c>
      <c r="I20" s="3" t="s">
        <v>18</v>
      </c>
      <c r="J20" s="6" t="s">
        <v>20</v>
      </c>
      <c r="K20" s="6"/>
    </row>
    <row r="21" spans="2:11" x14ac:dyDescent="0.3">
      <c r="B21" s="5"/>
      <c r="C21" s="6"/>
      <c r="D21" s="1">
        <f t="shared" si="3"/>
        <v>671135</v>
      </c>
      <c r="E21" s="1" t="s">
        <v>18</v>
      </c>
      <c r="F21" s="1" t="s">
        <v>3</v>
      </c>
    </row>
    <row r="22" spans="2:11" x14ac:dyDescent="0.3">
      <c r="B22" s="5"/>
      <c r="C22" s="6"/>
      <c r="D22" s="1">
        <f t="shared" si="3"/>
        <v>671136</v>
      </c>
      <c r="E22" s="1" t="s">
        <v>1</v>
      </c>
      <c r="F22" s="2"/>
    </row>
    <row r="23" spans="2:11" x14ac:dyDescent="0.3">
      <c r="B23" s="3" t="s">
        <v>16</v>
      </c>
      <c r="C23" s="6"/>
      <c r="D23" s="4">
        <f t="shared" si="3"/>
        <v>671137</v>
      </c>
      <c r="E23" s="4" t="s">
        <v>17</v>
      </c>
      <c r="F23" s="4" t="s">
        <v>2</v>
      </c>
    </row>
  </sheetData>
  <mergeCells count="11">
    <mergeCell ref="B19:B22"/>
    <mergeCell ref="C4:C23"/>
    <mergeCell ref="J20:K20"/>
    <mergeCell ref="J19:K19"/>
    <mergeCell ref="J18:K18"/>
    <mergeCell ref="F10:F12"/>
    <mergeCell ref="J4:J15"/>
    <mergeCell ref="I4:I9"/>
    <mergeCell ref="I10:I15"/>
    <mergeCell ref="B4:B12"/>
    <mergeCell ref="B13:B1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2026-07-16T12:57:00Z</dcterms:created>
  <dcterms:modified xsi:type="dcterms:W3CDTF">2026-07-19T18:06:07Z</dcterms:modified>
</cp:coreProperties>
</file>